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cosClaro\Downloads\"/>
    </mc:Choice>
  </mc:AlternateContent>
  <bookViews>
    <workbookView xWindow="0" yWindow="0" windowWidth="28800" windowHeight="11985" activeTab="1"/>
  </bookViews>
  <sheets>
    <sheet name="AMOSTRA" sheetId="1" r:id="rId1"/>
    <sheet name="ESTATÍSTICA" sheetId="2" r:id="rId2"/>
  </sheets>
  <calcPr calcId="152511"/>
</workbook>
</file>

<file path=xl/calcChain.xml><?xml version="1.0" encoding="utf-8"?>
<calcChain xmlns="http://schemas.openxmlformats.org/spreadsheetml/2006/main">
  <c r="I6" i="2" l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5" i="2"/>
  <c r="H5" i="2" s="1"/>
  <c r="H6" i="2" s="1"/>
  <c r="D12" i="2"/>
  <c r="D11" i="2"/>
  <c r="D10" i="2"/>
  <c r="D8" i="2"/>
  <c r="D7" i="2"/>
  <c r="D6" i="2"/>
  <c r="D5" i="2"/>
  <c r="D4" i="2"/>
  <c r="D9" i="2" l="1"/>
  <c r="B6" i="1"/>
  <c r="G25" i="2" l="1"/>
  <c r="H7" i="2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</calcChain>
</file>

<file path=xl/sharedStrings.xml><?xml version="1.0" encoding="utf-8"?>
<sst xmlns="http://schemas.openxmlformats.org/spreadsheetml/2006/main" count="25" uniqueCount="25">
  <si>
    <t>População (N)</t>
  </si>
  <si>
    <t>Margem de erro (e)</t>
  </si>
  <si>
    <t>Nível de confiança (Z)</t>
  </si>
  <si>
    <t>Proporção (p)</t>
  </si>
  <si>
    <t>AMOSTRA</t>
  </si>
  <si>
    <t>TAMANHO (n)</t>
  </si>
  <si>
    <t>ESTATÍSTICA</t>
  </si>
  <si>
    <t>Dados</t>
  </si>
  <si>
    <t>Métricas</t>
  </si>
  <si>
    <t>Valores</t>
  </si>
  <si>
    <t>Média</t>
  </si>
  <si>
    <t>Mediana</t>
  </si>
  <si>
    <t>Moda</t>
  </si>
  <si>
    <t>Mínimo</t>
  </si>
  <si>
    <t>Máximo</t>
  </si>
  <si>
    <t>Amplitude</t>
  </si>
  <si>
    <t>Variância</t>
  </si>
  <si>
    <t>Desvio Padrão</t>
  </si>
  <si>
    <t>Contagem</t>
  </si>
  <si>
    <t>Tabela de Frequência</t>
  </si>
  <si>
    <t>Valor</t>
  </si>
  <si>
    <t>Frequência</t>
  </si>
  <si>
    <t>Freq. Acumulada</t>
  </si>
  <si>
    <t>TOTAL</t>
  </si>
  <si>
    <t>Freq.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</si>
</sst>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"/>
    <numFmt numFmtId="165" formatCode="0.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DDDDD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33" sqref="A33"/>
    </sheetView>
  </sheetViews>
  <sheetFormatPr defaultRowHeight="15" x14ac:dyDescent="0.25"/>
  <cols>
    <col min="1" max="1" width="30" customWidth="1"/>
    <col min="2" max="2" width="20" customWidth="1"/>
  </cols>
  <sheetData>
    <row r="1" spans="1:2" x14ac:dyDescent="0.25">
      <c r="A1" s="5" t="s">
        <v>4</v>
      </c>
      <c r="B1" s="5"/>
    </row>
    <row r="2" spans="1:2" x14ac:dyDescent="0.25">
      <c r="A2" s="1" t="s">
        <v>0</v>
      </c>
      <c r="B2" s="3">
        <v>1400</v>
      </c>
    </row>
    <row r="3" spans="1:2" x14ac:dyDescent="0.25">
      <c r="A3" s="1" t="s">
        <v>1</v>
      </c>
      <c r="B3" s="3">
        <v>0.05</v>
      </c>
    </row>
    <row r="4" spans="1:2" x14ac:dyDescent="0.25">
      <c r="A4" s="1" t="s">
        <v>2</v>
      </c>
      <c r="B4" s="3">
        <v>1.96</v>
      </c>
    </row>
    <row r="5" spans="1:2" x14ac:dyDescent="0.25">
      <c r="A5" s="1" t="s">
        <v>3</v>
      </c>
      <c r="B5" s="3">
        <v>0.5</v>
      </c>
    </row>
    <row r="6" spans="1:2" x14ac:dyDescent="0.25">
      <c r="A6" s="2" t="s">
        <v>5</v>
      </c>
      <c r="B6" s="4">
        <f>(B4^2*B5*(1-B5)/B3^2)/(1+(B4^2*B5*(1-B5))/(B3^2*B2))</f>
        <v>301.44381669805392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D12" sqref="D12"/>
    </sheetView>
  </sheetViews>
  <sheetFormatPr defaultColWidth="9.28515625" defaultRowHeight="15" x14ac:dyDescent="0.25"/>
  <cols>
    <col min="1" max="1" width="6.42578125" bestFit="1" customWidth="1"/>
    <col min="3" max="3" width="13.7109375" bestFit="1" customWidth="1"/>
    <col min="4" max="4" width="7.7109375" bestFit="1" customWidth="1"/>
    <col min="7" max="7" width="20.140625" bestFit="1" customWidth="1"/>
    <col min="8" max="8" width="16" bestFit="1" customWidth="1"/>
    <col min="9" max="9" width="13.28515625" style="7" bestFit="1" customWidth="1"/>
  </cols>
  <sheetData>
    <row r="1" spans="1:9" ht="18.75" x14ac:dyDescent="0.3">
      <c r="A1" s="6" t="s">
        <v>6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7"/>
    </row>
    <row r="3" spans="1:9" x14ac:dyDescent="0.25">
      <c r="A3" s="8" t="s">
        <v>7</v>
      </c>
      <c r="C3" s="8" t="s">
        <v>8</v>
      </c>
      <c r="D3" s="8" t="s">
        <v>9</v>
      </c>
      <c r="F3" s="12" t="s">
        <v>19</v>
      </c>
      <c r="G3" s="12"/>
      <c r="H3" s="12"/>
      <c r="I3" s="12"/>
    </row>
    <row r="4" spans="1:9" x14ac:dyDescent="0.25">
      <c r="A4" s="3">
        <v>12</v>
      </c>
      <c r="C4" s="1" t="s">
        <v>10</v>
      </c>
      <c r="D4" s="3">
        <f>AVERAGE(A4:A23)</f>
        <v>14.95</v>
      </c>
      <c r="F4" s="13" t="s">
        <v>20</v>
      </c>
      <c r="G4" s="13" t="s">
        <v>21</v>
      </c>
      <c r="H4" s="13" t="s">
        <v>22</v>
      </c>
      <c r="I4" s="13" t="s">
        <v>24</v>
      </c>
    </row>
    <row r="5" spans="1:9" x14ac:dyDescent="0.25">
      <c r="A5" s="3">
        <v>15</v>
      </c>
      <c r="C5" s="1" t="s">
        <v>11</v>
      </c>
      <c r="D5" s="3">
        <f>MEDIAN(A4:A23)</f>
        <v>15</v>
      </c>
      <c r="F5" s="3">
        <v>12</v>
      </c>
      <c r="G5" s="3">
        <f>COUNTIF($F$5:$F$24,F5)</f>
        <v>2</v>
      </c>
      <c r="H5" s="3">
        <f>G5</f>
        <v>2</v>
      </c>
      <c r="I5" s="16">
        <f>G5/42</f>
        <v>4.7619047619047616E-2</v>
      </c>
    </row>
    <row r="6" spans="1:9" x14ac:dyDescent="0.25">
      <c r="A6" s="3">
        <v>14</v>
      </c>
      <c r="C6" s="1" t="s">
        <v>12</v>
      </c>
      <c r="D6" s="3">
        <f>MOD(A4:A23,20)</f>
        <v>14</v>
      </c>
      <c r="F6" s="3">
        <v>15</v>
      </c>
      <c r="G6" s="3">
        <f t="shared" ref="G6:G24" si="0">COUNTIF($F$5:$F$24,F6)</f>
        <v>3</v>
      </c>
      <c r="H6" s="3">
        <f>H5+G6</f>
        <v>5</v>
      </c>
      <c r="I6" s="16">
        <f t="shared" ref="I6:I24" si="1">G6/42</f>
        <v>7.1428571428571425E-2</v>
      </c>
    </row>
    <row r="7" spans="1:9" x14ac:dyDescent="0.25">
      <c r="A7" s="3">
        <v>10</v>
      </c>
      <c r="C7" s="1" t="s">
        <v>13</v>
      </c>
      <c r="D7" s="3">
        <f>MIN(A4:A23)</f>
        <v>10</v>
      </c>
      <c r="F7" s="3">
        <v>14</v>
      </c>
      <c r="G7" s="3">
        <f t="shared" si="0"/>
        <v>3</v>
      </c>
      <c r="H7" s="3">
        <f t="shared" ref="H7:H24" si="2">H6+G7</f>
        <v>8</v>
      </c>
      <c r="I7" s="16">
        <f t="shared" si="1"/>
        <v>7.1428571428571425E-2</v>
      </c>
    </row>
    <row r="8" spans="1:9" x14ac:dyDescent="0.25">
      <c r="A8" s="3">
        <v>18</v>
      </c>
      <c r="C8" s="1" t="s">
        <v>14</v>
      </c>
      <c r="D8" s="3">
        <f>MAX(A4:A23)</f>
        <v>20</v>
      </c>
      <c r="F8" s="3">
        <v>10</v>
      </c>
      <c r="G8" s="3">
        <f t="shared" si="0"/>
        <v>1</v>
      </c>
      <c r="H8" s="3">
        <f t="shared" si="2"/>
        <v>9</v>
      </c>
      <c r="I8" s="16">
        <f t="shared" si="1"/>
        <v>2.3809523809523808E-2</v>
      </c>
    </row>
    <row r="9" spans="1:9" x14ac:dyDescent="0.25">
      <c r="A9" s="3">
        <v>20</v>
      </c>
      <c r="C9" s="1" t="s">
        <v>15</v>
      </c>
      <c r="D9" s="3">
        <f>D8-D7</f>
        <v>10</v>
      </c>
      <c r="F9" s="3">
        <v>18</v>
      </c>
      <c r="G9" s="3">
        <f t="shared" si="0"/>
        <v>2</v>
      </c>
      <c r="H9" s="3">
        <f t="shared" si="2"/>
        <v>11</v>
      </c>
      <c r="I9" s="16">
        <f t="shared" si="1"/>
        <v>4.7619047619047616E-2</v>
      </c>
    </row>
    <row r="10" spans="1:9" x14ac:dyDescent="0.25">
      <c r="A10" s="3">
        <v>17</v>
      </c>
      <c r="C10" s="1" t="s">
        <v>16</v>
      </c>
      <c r="D10" s="9">
        <f>_xlfn.VAR.P(A4:A23)</f>
        <v>6.9474999999999998</v>
      </c>
      <c r="F10" s="3">
        <v>20</v>
      </c>
      <c r="G10" s="3">
        <f t="shared" si="0"/>
        <v>1</v>
      </c>
      <c r="H10" s="3">
        <f t="shared" si="2"/>
        <v>12</v>
      </c>
      <c r="I10" s="16">
        <f t="shared" si="1"/>
        <v>2.3809523809523808E-2</v>
      </c>
    </row>
    <row r="11" spans="1:9" x14ac:dyDescent="0.25">
      <c r="A11" s="3">
        <v>16</v>
      </c>
      <c r="C11" s="1" t="s">
        <v>17</v>
      </c>
      <c r="D11" s="10">
        <f>_xlfn.STDEV.P(A4:A23)</f>
        <v>2.6358110706194404</v>
      </c>
      <c r="F11" s="3">
        <v>17</v>
      </c>
      <c r="G11" s="3">
        <f t="shared" si="0"/>
        <v>2</v>
      </c>
      <c r="H11" s="3">
        <f t="shared" si="2"/>
        <v>14</v>
      </c>
      <c r="I11" s="16">
        <f t="shared" si="1"/>
        <v>4.7619047619047616E-2</v>
      </c>
    </row>
    <row r="12" spans="1:9" x14ac:dyDescent="0.25">
      <c r="A12" s="3">
        <v>19</v>
      </c>
      <c r="C12" s="1" t="s">
        <v>18</v>
      </c>
      <c r="D12" s="3">
        <f>COUNT(A4:A23)</f>
        <v>20</v>
      </c>
      <c r="F12" s="3">
        <v>16</v>
      </c>
      <c r="G12" s="3">
        <f t="shared" si="0"/>
        <v>2</v>
      </c>
      <c r="H12" s="3">
        <f t="shared" si="2"/>
        <v>16</v>
      </c>
      <c r="I12" s="16">
        <f t="shared" si="1"/>
        <v>4.7619047619047616E-2</v>
      </c>
    </row>
    <row r="13" spans="1:9" x14ac:dyDescent="0.25">
      <c r="A13" s="3">
        <v>13</v>
      </c>
      <c r="F13" s="3">
        <v>19</v>
      </c>
      <c r="G13" s="3">
        <f t="shared" si="0"/>
        <v>1</v>
      </c>
      <c r="H13" s="3">
        <f t="shared" si="2"/>
        <v>17</v>
      </c>
      <c r="I13" s="16">
        <f t="shared" si="1"/>
        <v>2.3809523809523808E-2</v>
      </c>
    </row>
    <row r="14" spans="1:9" x14ac:dyDescent="0.25">
      <c r="A14" s="3">
        <v>15</v>
      </c>
      <c r="F14" s="3">
        <v>13</v>
      </c>
      <c r="G14" s="3">
        <f t="shared" si="0"/>
        <v>2</v>
      </c>
      <c r="H14" s="3">
        <f t="shared" si="2"/>
        <v>19</v>
      </c>
      <c r="I14" s="16">
        <f t="shared" si="1"/>
        <v>4.7619047619047616E-2</v>
      </c>
    </row>
    <row r="15" spans="1:9" x14ac:dyDescent="0.25">
      <c r="A15" s="3">
        <v>14</v>
      </c>
      <c r="F15" s="3">
        <v>15</v>
      </c>
      <c r="G15" s="3">
        <f t="shared" si="0"/>
        <v>3</v>
      </c>
      <c r="H15" s="3">
        <f t="shared" si="2"/>
        <v>22</v>
      </c>
      <c r="I15" s="16">
        <f t="shared" si="1"/>
        <v>7.1428571428571425E-2</v>
      </c>
    </row>
    <row r="16" spans="1:9" x14ac:dyDescent="0.25">
      <c r="A16" s="3">
        <v>18</v>
      </c>
      <c r="F16" s="3">
        <v>14</v>
      </c>
      <c r="G16" s="3">
        <f t="shared" si="0"/>
        <v>3</v>
      </c>
      <c r="H16" s="3">
        <f t="shared" si="2"/>
        <v>25</v>
      </c>
      <c r="I16" s="16">
        <f t="shared" si="1"/>
        <v>7.1428571428571425E-2</v>
      </c>
    </row>
    <row r="17" spans="1:9" x14ac:dyDescent="0.25">
      <c r="A17" s="3">
        <v>17</v>
      </c>
      <c r="F17" s="3">
        <v>18</v>
      </c>
      <c r="G17" s="3">
        <f t="shared" si="0"/>
        <v>2</v>
      </c>
      <c r="H17" s="3">
        <f t="shared" si="2"/>
        <v>27</v>
      </c>
      <c r="I17" s="16">
        <f t="shared" si="1"/>
        <v>4.7619047619047616E-2</v>
      </c>
    </row>
    <row r="18" spans="1:9" x14ac:dyDescent="0.25">
      <c r="A18" s="3">
        <v>16</v>
      </c>
      <c r="F18" s="3">
        <v>17</v>
      </c>
      <c r="G18" s="3">
        <f t="shared" si="0"/>
        <v>2</v>
      </c>
      <c r="H18" s="3">
        <f t="shared" si="2"/>
        <v>29</v>
      </c>
      <c r="I18" s="16">
        <f t="shared" si="1"/>
        <v>4.7619047619047616E-2</v>
      </c>
    </row>
    <row r="19" spans="1:9" x14ac:dyDescent="0.25">
      <c r="A19" s="3">
        <v>15</v>
      </c>
      <c r="F19" s="3">
        <v>16</v>
      </c>
      <c r="G19" s="3">
        <f t="shared" si="0"/>
        <v>2</v>
      </c>
      <c r="H19" s="3">
        <f t="shared" si="2"/>
        <v>31</v>
      </c>
      <c r="I19" s="16">
        <f t="shared" si="1"/>
        <v>4.7619047619047616E-2</v>
      </c>
    </row>
    <row r="20" spans="1:9" x14ac:dyDescent="0.25">
      <c r="A20" s="3">
        <v>14</v>
      </c>
      <c r="F20" s="3">
        <v>15</v>
      </c>
      <c r="G20" s="3">
        <f t="shared" si="0"/>
        <v>3</v>
      </c>
      <c r="H20" s="3">
        <f t="shared" si="2"/>
        <v>34</v>
      </c>
      <c r="I20" s="16">
        <f t="shared" si="1"/>
        <v>7.1428571428571425E-2</v>
      </c>
    </row>
    <row r="21" spans="1:9" x14ac:dyDescent="0.25">
      <c r="A21" s="3">
        <v>13</v>
      </c>
      <c r="F21" s="3">
        <v>14</v>
      </c>
      <c r="G21" s="3">
        <f t="shared" si="0"/>
        <v>3</v>
      </c>
      <c r="H21" s="3">
        <f t="shared" si="2"/>
        <v>37</v>
      </c>
      <c r="I21" s="16">
        <f t="shared" si="1"/>
        <v>7.1428571428571425E-2</v>
      </c>
    </row>
    <row r="22" spans="1:9" x14ac:dyDescent="0.25">
      <c r="A22" s="3">
        <v>12</v>
      </c>
      <c r="F22" s="3">
        <v>13</v>
      </c>
      <c r="G22" s="3">
        <f t="shared" si="0"/>
        <v>2</v>
      </c>
      <c r="H22" s="3">
        <f t="shared" si="2"/>
        <v>39</v>
      </c>
      <c r="I22" s="16">
        <f t="shared" si="1"/>
        <v>4.7619047619047616E-2</v>
      </c>
    </row>
    <row r="23" spans="1:9" x14ac:dyDescent="0.25">
      <c r="A23" s="3">
        <v>11</v>
      </c>
      <c r="F23" s="3">
        <v>12</v>
      </c>
      <c r="G23" s="3">
        <f t="shared" si="0"/>
        <v>2</v>
      </c>
      <c r="H23" s="3">
        <f t="shared" si="2"/>
        <v>41</v>
      </c>
      <c r="I23" s="16">
        <f t="shared" si="1"/>
        <v>4.7619047619047616E-2</v>
      </c>
    </row>
    <row r="24" spans="1:9" x14ac:dyDescent="0.25">
      <c r="A24" s="7"/>
      <c r="F24" s="3">
        <v>11</v>
      </c>
      <c r="G24" s="3">
        <f t="shared" si="0"/>
        <v>1</v>
      </c>
      <c r="H24" s="3">
        <f t="shared" si="2"/>
        <v>42</v>
      </c>
      <c r="I24" s="16">
        <f t="shared" si="1"/>
        <v>2.3809523809523808E-2</v>
      </c>
    </row>
    <row r="25" spans="1:9" x14ac:dyDescent="0.25">
      <c r="A25" s="7"/>
      <c r="F25" s="11" t="s">
        <v>23</v>
      </c>
      <c r="G25" s="14">
        <f>SUM(G5:G24)</f>
        <v>42</v>
      </c>
      <c r="H25" s="14"/>
      <c r="I25" s="15"/>
    </row>
    <row r="26" spans="1:9" x14ac:dyDescent="0.25">
      <c r="A26" s="7"/>
    </row>
    <row r="27" spans="1:9" x14ac:dyDescent="0.25">
      <c r="A27" s="7"/>
    </row>
  </sheetData>
  <mergeCells count="2">
    <mergeCell ref="A1:I1"/>
    <mergeCell ref="F3:I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AMOSTRA</vt:lpstr>
      <vt:lpstr>ESTATÍSTICA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HarcosClaro</cp:lastModifiedBy>
  <dcterms:created xsi:type="dcterms:W3CDTF">2026-04-30T18:09:42Z</dcterms:created>
  <dcterms:modified xsi:type="dcterms:W3CDTF">2026-04-30T18:44:49Z</dcterms:modified>
</cp:coreProperties>
</file>